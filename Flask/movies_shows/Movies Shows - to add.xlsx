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228" yWindow="228" windowWidth="10812" windowHeight="12012" tabRatio="600" firstSheet="0" activeTab="0" autoFilterDateGrouping="1"/>
  </bookViews>
  <sheets>
    <sheet name="Movies and Shows" sheetId="1" state="visible" r:id="rId1"/>
    <sheet name="lookup table" sheetId="2" state="visible" r:id="rId2"/>
  </sheets>
  <definedNames>
    <definedName name="Comparison">#REF!</definedName>
    <definedName name="Describe">#REF!</definedName>
    <definedName name="fullList">#REF!</definedName>
    <definedName name="Synopses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d/mmm/yy;@"/>
    <numFmt numFmtId="165" formatCode="[$-409]d\-mmm\-yyyy;@"/>
    <numFmt numFmtId="166" formatCode="dd/mmm/yy\ h:mm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 style="thin">
        <color theme="9" tint="0.3999755851924192"/>
      </bottom>
      <diagonal/>
    </border>
  </borders>
  <cellStyleXfs count="3">
    <xf numFmtId="0" fontId="0" fillId="0" borderId="0"/>
    <xf numFmtId="0" fontId="2" fillId="0" borderId="0"/>
    <xf numFmtId="0" fontId="9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0" borderId="0" pivotButton="0" quotePrefix="1" xfId="0"/>
    <xf numFmtId="16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/>
    </xf>
    <xf numFmtId="165" fontId="0" fillId="0" borderId="0" pivotButton="0" quotePrefix="0" xfId="0"/>
    <xf numFmtId="165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3" pivotButton="0" quotePrefix="0" xfId="0"/>
    <xf numFmtId="0" fontId="7" fillId="0" borderId="2" pivotButton="0" quotePrefix="0" xfId="0"/>
    <xf numFmtId="0" fontId="7" fillId="0" borderId="3" pivotButton="0" quotePrefix="0" xfId="0"/>
    <xf numFmtId="0" fontId="8" fillId="0" borderId="0" pivotButton="0" quotePrefix="0" xfId="0"/>
    <xf numFmtId="166" fontId="8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center" wrapText="1"/>
    </xf>
  </cellXfs>
  <cellStyles count="3">
    <cellStyle name="Normal" xfId="0" builtinId="0"/>
    <cellStyle name="Hyperlink" xfId="1" builtinId="8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3:N6" headerRowCount="1">
  <autoFilter ref="A3:N6"/>
  <tableColumns count="14">
    <tableColumn id="1" name="Code"/>
    <tableColumn id="2" name="Sub"/>
    <tableColumn id="3" name="Pri"/>
    <tableColumn id="4" name="With"/>
    <tableColumn id="5" name="Avail"/>
    <tableColumn id="6" name="Title"/>
    <tableColumn id="7" name="Movie or 1st S0? to Get/Watch"/>
    <tableColumn id="8" name="Seasons made"/>
    <tableColumn id="9" name="where"/>
    <tableColumn id="10" name="Date Avail"/>
    <tableColumn id="11" name="Season Notes"/>
    <tableColumn id="12" name="Notes"/>
    <tableColumn id="13" name="Synopsis"/>
    <tableColumn id="14" name="Column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6"/>
  <sheetViews>
    <sheetView tabSelected="1" topLeftCell="B1" zoomScale="120" zoomScaleNormal="120" workbookViewId="0">
      <pane ySplit="3" topLeftCell="A4" activePane="bottomLeft" state="frozen"/>
      <selection activeCell="E1" sqref="E1"/>
      <selection pane="bottomLeft" activeCell="D5" sqref="D5"/>
    </sheetView>
  </sheetViews>
  <sheetFormatPr baseColWidth="8" defaultColWidth="10.77734375" defaultRowHeight="14.4"/>
  <cols>
    <col width="8" customWidth="1" min="1" max="1"/>
    <col width="7" customWidth="1" min="2" max="2"/>
    <col width="4.77734375" customWidth="1" min="3" max="3"/>
    <col width="12.33203125" customWidth="1" min="4" max="4"/>
    <col width="14.77734375" bestFit="1" customWidth="1" min="5" max="5"/>
    <col width="35.109375" customWidth="1" min="6" max="6"/>
    <col width="11.33203125" customWidth="1" style="3" min="7" max="7"/>
    <col width="9.109375" customWidth="1" style="11" min="8" max="8"/>
    <col width="14.44140625" customWidth="1" min="9" max="9"/>
    <col width="12.6640625" bestFit="1" customWidth="1" style="15" min="10" max="10"/>
    <col width="10.33203125" bestFit="1" customWidth="1" style="10" min="11" max="11"/>
    <col width="16.6640625" customWidth="1" min="12" max="12"/>
    <col width="41.44140625" customWidth="1" style="5" min="13" max="13"/>
    <col width="45.44140625" customWidth="1" min="14" max="14"/>
  </cols>
  <sheetData>
    <row r="1" ht="16.05" customHeight="1">
      <c r="A1" s="17" t="inlineStr">
        <is>
          <t>Dennis (Bold)</t>
        </is>
      </c>
      <c r="B1" s="2" t="n"/>
      <c r="C1" s="4" t="inlineStr">
        <is>
          <t>Dennis  Interested</t>
        </is>
      </c>
      <c r="E1" s="18" t="inlineStr">
        <is>
          <t>Both (bolded)</t>
        </is>
      </c>
      <c r="F1" s="20" t="inlineStr">
        <is>
          <t>Laura Interested (try to get at least 720p - and subtitles for DHM))</t>
        </is>
      </c>
      <c r="K1" s="21" t="inlineStr">
        <is>
          <t>Last review date Laura:</t>
        </is>
      </c>
      <c r="L1" s="14" t="n"/>
      <c r="M1" s="22" t="n">
        <v>45958.22916666666</v>
      </c>
    </row>
    <row r="2">
      <c r="A2" t="inlineStr">
        <is>
          <t>If Code 1st digit = 0-&gt;Laura |  1 -&gt;maybe Laura | 2-&gt;not Laura. | 1000-&gt;Laura Only</t>
        </is>
      </c>
      <c r="G2" s="6" t="inlineStr">
        <is>
          <t>x.1 - Avail Now / x.4 - weekly / x.5 - trying to find / x.6 - found but $ / x.7 - Future Date set / x.8 - Announced as coming/ x.9 - Unknown if coming</t>
        </is>
      </c>
      <c r="L2" s="5" t="n"/>
    </row>
    <row r="3" ht="43.5" customFormat="1" customHeight="1" s="7">
      <c r="A3" s="7" t="inlineStr">
        <is>
          <t>Code</t>
        </is>
      </c>
      <c r="B3" s="7" t="inlineStr">
        <is>
          <t>Sub</t>
        </is>
      </c>
      <c r="C3" s="7" t="inlineStr">
        <is>
          <t>Pri</t>
        </is>
      </c>
      <c r="D3" s="7" t="inlineStr">
        <is>
          <t>With</t>
        </is>
      </c>
      <c r="E3" s="7" t="inlineStr">
        <is>
          <t>Avail</t>
        </is>
      </c>
      <c r="F3" s="7" t="inlineStr">
        <is>
          <t>Title</t>
        </is>
      </c>
      <c r="G3" s="23" t="inlineStr">
        <is>
          <t>Movie or 1st S0? to Get/Watch</t>
        </is>
      </c>
      <c r="H3" s="12" t="inlineStr">
        <is>
          <t>Seasons made</t>
        </is>
      </c>
      <c r="I3" s="7" t="inlineStr">
        <is>
          <t>where</t>
        </is>
      </c>
      <c r="J3" s="16" t="inlineStr">
        <is>
          <t>Date Avail</t>
        </is>
      </c>
      <c r="K3" s="7" t="inlineStr">
        <is>
          <t>Season Notes</t>
        </is>
      </c>
      <c r="L3" s="13" t="inlineStr">
        <is>
          <t>Notes</t>
        </is>
      </c>
      <c r="M3" s="7" t="inlineStr">
        <is>
          <t>Synopsis</t>
        </is>
      </c>
      <c r="N3" s="7" t="inlineStr">
        <is>
          <t>Column1</t>
        </is>
      </c>
    </row>
    <row r="4">
      <c r="A4" t="n">
        <v>9999.9</v>
      </c>
      <c r="B4">
        <f>Table1[[#This Row],[Code]]-INT(Table1[[#This Row],[Code]])</f>
        <v/>
      </c>
      <c r="D4" s="1">
        <f>VLOOKUP(A4,'lookup table'!$E$17:$F$28,2,TRUE)</f>
        <v/>
      </c>
      <c r="E4" s="1">
        <f>VLOOKUP(B4,'lookup table'!$E$32:$F$40,2,TRUE)</f>
        <v/>
      </c>
      <c r="F4" s="19" t="inlineStr">
        <is>
          <t>JUST A PLACEHOLDER - DO NOT DELETE</t>
        </is>
      </c>
      <c r="K4" s="8" t="n"/>
      <c r="L4" s="5" t="n"/>
      <c r="M4" s="9" t="n"/>
    </row>
    <row r="5" ht="43.2" customHeight="1">
      <c r="A5" t="n">
        <v>1.1</v>
      </c>
      <c r="B5">
        <f>Table1[[#This Row],[Code]]-INT(Table1[[#This Row],[Code]])</f>
        <v/>
      </c>
      <c r="D5">
        <f>VLOOKUP(A5,'lookup table'!$E$17:$F$28,2,TRUE)</f>
        <v/>
      </c>
      <c r="E5">
        <f>VLOOKUP(B5,'lookup table'!$E$32:$F$40,2,TRUE)</f>
        <v/>
      </c>
      <c r="F5" s="24" t="inlineStr">
        <is>
          <t>So … how was peepee night? (wondering when you will see this - it's 7:12 AMS time on Friday). Love you and soon-er!!</t>
        </is>
      </c>
      <c r="K5" s="8" t="n"/>
    </row>
    <row r="6">
      <c r="A6" t="n">
        <v>1</v>
      </c>
      <c r="B6">
        <f>Table1[[#This Row],[Code]]-INT(Table1[[#This Row],[Code]])</f>
        <v/>
      </c>
      <c r="D6">
        <f>VLOOKUP(A6,'lookup table'!$E$17:$F$28,2,TRUE)</f>
        <v/>
      </c>
      <c r="E6">
        <f>VLOOKUP(B6,'lookup table'!$E$32:$F$40,2,TRUE)</f>
        <v/>
      </c>
      <c r="F6" t="inlineStr">
        <is>
          <t>Peepee night was very good</t>
        </is>
      </c>
      <c r="G6" t="inlineStr"/>
      <c r="H6" t="inlineStr"/>
      <c r="I6" t="inlineStr"/>
      <c r="K6" s="8" t="inlineStr"/>
      <c r="L6" t="inlineStr">
        <is>
          <t>Old home week</t>
        </is>
      </c>
      <c r="M6" t="inlineStr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8">
    <outlinePr summaryBelow="1" summaryRight="1"/>
    <pageSetUpPr/>
  </sheetPr>
  <dimension ref="A1:J41"/>
  <sheetViews>
    <sheetView topLeftCell="A7" zoomScale="90" zoomScaleNormal="90" workbookViewId="0">
      <selection activeCell="F34" sqref="F34"/>
    </sheetView>
  </sheetViews>
  <sheetFormatPr baseColWidth="8" defaultColWidth="10.77734375" defaultRowHeight="14.4"/>
  <sheetData>
    <row r="1">
      <c r="A1" t="inlineStr">
        <is>
          <t>lo</t>
        </is>
      </c>
    </row>
    <row r="16">
      <c r="E16" t="inlineStr">
        <is>
          <t>code</t>
        </is>
      </c>
      <c r="F16" t="inlineStr">
        <is>
          <t>value</t>
        </is>
      </c>
    </row>
    <row r="17">
      <c r="E17" t="n">
        <v>0.1</v>
      </c>
      <c r="F17" t="inlineStr">
        <is>
          <t>Laura</t>
        </is>
      </c>
    </row>
    <row r="18">
      <c r="E18" t="n">
        <v>0.5</v>
      </c>
      <c r="F18" t="inlineStr">
        <is>
          <t>Laura</t>
        </is>
      </c>
    </row>
    <row r="19">
      <c r="E19" t="n">
        <v>0.9</v>
      </c>
      <c r="F19" t="inlineStr">
        <is>
          <t>Laura</t>
        </is>
      </c>
    </row>
    <row r="20">
      <c r="E20" t="n">
        <v>1.1</v>
      </c>
      <c r="F20" t="inlineStr">
        <is>
          <t>Maybe Laura</t>
        </is>
      </c>
    </row>
    <row r="21">
      <c r="E21" t="n">
        <v>1.5</v>
      </c>
      <c r="F21" t="inlineStr">
        <is>
          <t>Maybe Laura</t>
        </is>
      </c>
    </row>
    <row r="22">
      <c r="E22" t="n">
        <v>1.9</v>
      </c>
      <c r="F22" t="inlineStr">
        <is>
          <t>Maybe Laura</t>
        </is>
      </c>
    </row>
    <row r="23">
      <c r="E23" t="n">
        <v>2.1</v>
      </c>
      <c r="F23" t="inlineStr">
        <is>
          <t>Not w Laura</t>
        </is>
      </c>
    </row>
    <row r="24">
      <c r="E24" t="n">
        <v>2.5</v>
      </c>
      <c r="F24" t="inlineStr">
        <is>
          <t>Not w Laura</t>
        </is>
      </c>
    </row>
    <row r="25">
      <c r="E25" t="n">
        <v>2.9</v>
      </c>
      <c r="F25" t="inlineStr">
        <is>
          <t>Not w Laura</t>
        </is>
      </c>
    </row>
    <row r="26">
      <c r="E26" t="n">
        <v>9.9</v>
      </c>
      <c r="F26" s="9" t="inlineStr">
        <is>
          <t>Picked up?</t>
        </is>
      </c>
    </row>
    <row r="27">
      <c r="E27" t="n">
        <v>99.90000000000001</v>
      </c>
      <c r="F27" s="9" t="inlineStr">
        <is>
          <t>Not Known</t>
        </is>
      </c>
    </row>
    <row r="28">
      <c r="E28" t="n">
        <v>999.9</v>
      </c>
      <c r="F28" s="9" t="inlineStr">
        <is>
          <t>Only Laura</t>
        </is>
      </c>
    </row>
    <row r="29">
      <c r="F29" s="9" t="n"/>
    </row>
    <row r="31">
      <c r="F31" t="inlineStr">
        <is>
          <t>Availability</t>
        </is>
      </c>
    </row>
    <row r="32">
      <c r="E32" t="n">
        <v>0.099</v>
      </c>
      <c r="F32" t="inlineStr">
        <is>
          <t>Avail</t>
        </is>
      </c>
      <c r="J32" t="inlineStr">
        <is>
          <t>get rid of</t>
        </is>
      </c>
    </row>
    <row r="33">
      <c r="E33" t="n">
        <v>0.199</v>
      </c>
      <c r="F33" t="inlineStr">
        <is>
          <t>xxxx</t>
        </is>
      </c>
      <c r="I33" t="inlineStr">
        <is>
          <t>Just this</t>
        </is>
      </c>
    </row>
    <row r="34">
      <c r="E34" t="n">
        <v>0.2999</v>
      </c>
      <c r="F34" t="inlineStr">
        <is>
          <t>xxxx</t>
        </is>
      </c>
      <c r="J34" t="inlineStr">
        <is>
          <t>get rid of</t>
        </is>
      </c>
    </row>
    <row r="35">
      <c r="E35" t="n">
        <v>0.3999</v>
      </c>
      <c r="F35" t="inlineStr">
        <is>
          <t>Weekly</t>
        </is>
      </c>
      <c r="J35" t="inlineStr">
        <is>
          <t>get rid of</t>
        </is>
      </c>
    </row>
    <row r="36">
      <c r="E36" t="n">
        <v>0.4999</v>
      </c>
      <c r="F36" t="inlineStr">
        <is>
          <t>Trying to find</t>
        </is>
      </c>
      <c r="I36" t="inlineStr">
        <is>
          <t>Just this</t>
        </is>
      </c>
    </row>
    <row r="37">
      <c r="E37" t="n">
        <v>0.5999</v>
      </c>
      <c r="F37" t="inlineStr">
        <is>
          <t>Found but $</t>
        </is>
      </c>
      <c r="I37" t="inlineStr">
        <is>
          <t>Just this</t>
        </is>
      </c>
    </row>
    <row r="38">
      <c r="E38" t="n">
        <v>0.6999</v>
      </c>
      <c r="F38" t="inlineStr">
        <is>
          <t>Future Date Set</t>
        </is>
      </c>
      <c r="I38" t="inlineStr">
        <is>
          <t>Just this</t>
        </is>
      </c>
    </row>
    <row r="39">
      <c r="E39" t="n">
        <v>0.7999000000000001</v>
      </c>
      <c r="F39" t="inlineStr">
        <is>
          <t>Announced</t>
        </is>
      </c>
      <c r="I39" t="inlineStr">
        <is>
          <t>Just this</t>
        </is>
      </c>
    </row>
    <row r="40">
      <c r="E40" t="n">
        <v>0.8999</v>
      </c>
      <c r="F40" t="inlineStr">
        <is>
          <t>Unknown</t>
        </is>
      </c>
      <c r="I40" t="inlineStr">
        <is>
          <t>Just this</t>
        </is>
      </c>
    </row>
    <row r="41">
      <c r="E41" t="n">
        <v>99.90000000000001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Dennis Mathes</dc:creator>
  <dcterms:created xsi:type="dcterms:W3CDTF">2020-06-18T13:19:20Z</dcterms:created>
  <dcterms:modified xsi:type="dcterms:W3CDTF">2026-03-30T11:20:57Z</dcterms:modified>
  <cp:lastModifiedBy>Laura Mathes</cp:lastModifiedBy>
</cp:coreProperties>
</file>